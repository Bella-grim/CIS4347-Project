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bngrimal_cougarnet_uh_edu/Documents/Fall 2026/CIS 4374/"/>
    </mc:Choice>
  </mc:AlternateContent>
  <xr:revisionPtr revIDLastSave="0" documentId="8_{00A3670E-1406-4141-A423-815AE74EFE26}" xr6:coauthVersionLast="47" xr6:coauthVersionMax="47" xr10:uidLastSave="{00000000-0000-0000-0000-000000000000}"/>
  <bookViews>
    <workbookView xWindow="4992" yWindow="984" windowWidth="16452" windowHeight="12696" firstSheet="1" activeTab="3" xr2:uid="{7EAF2FEB-CED2-4854-86BD-049E265D217B}"/>
  </bookViews>
  <sheets>
    <sheet name="Roles &amp; Resources" sheetId="1" r:id="rId1"/>
    <sheet name="Resource Plan" sheetId="2" r:id="rId2"/>
    <sheet name="Cost Plan" sheetId="3" r:id="rId3"/>
    <sheet name="RACI 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3" l="1"/>
  <c r="E16" i="3"/>
  <c r="E17" i="3"/>
  <c r="E18" i="3"/>
  <c r="E15" i="3"/>
  <c r="D19" i="3"/>
  <c r="C19" i="3"/>
  <c r="B19" i="3"/>
  <c r="E7" i="3"/>
  <c r="E5" i="3"/>
  <c r="E8" i="3" s="1"/>
  <c r="F8" i="2"/>
  <c r="D8" i="2"/>
  <c r="F3" i="2"/>
  <c r="F4" i="2"/>
  <c r="F5" i="2"/>
  <c r="F6" i="2"/>
  <c r="F7" i="2"/>
  <c r="F2" i="2"/>
  <c r="E9" i="3" l="1"/>
  <c r="E10" i="3"/>
</calcChain>
</file>

<file path=xl/sharedStrings.xml><?xml version="1.0" encoding="utf-8"?>
<sst xmlns="http://schemas.openxmlformats.org/spreadsheetml/2006/main" count="173" uniqueCount="79">
  <si>
    <t>Role</t>
  </si>
  <si>
    <t>Name</t>
  </si>
  <si>
    <t>FTE %</t>
  </si>
  <si>
    <t>Estimated Hours</t>
  </si>
  <si>
    <t>Main Responsibilities</t>
  </si>
  <si>
    <t>Project Manager</t>
  </si>
  <si>
    <t>Frontend Developer</t>
  </si>
  <si>
    <t>Backend Developer</t>
  </si>
  <si>
    <t>UI/UX Designer</t>
  </si>
  <si>
    <t>QA Tester</t>
  </si>
  <si>
    <t>DevOps Engineer</t>
  </si>
  <si>
    <t>Bella Grimaldo</t>
  </si>
  <si>
    <t>Jazmine More</t>
  </si>
  <si>
    <t>Sarah Yi</t>
  </si>
  <si>
    <t>Daniel Hernandez</t>
  </si>
  <si>
    <t>Selena Gomez</t>
  </si>
  <si>
    <t>Ryan Morgan</t>
  </si>
  <si>
    <t>Skill Level</t>
  </si>
  <si>
    <t>Intermediate</t>
  </si>
  <si>
    <t>Advanced</t>
  </si>
  <si>
    <t>Project planning, scheduling, buget, risk, and communication</t>
  </si>
  <si>
    <t>User dashboard, interactive maps, reservation screen and filters</t>
  </si>
  <si>
    <t>Parking availability, reservations, payments, and database operations</t>
  </si>
  <si>
    <t>Interface designs, navigation, and user experience</t>
  </si>
  <si>
    <t>Feature testing, integration, and defect reporting</t>
  </si>
  <si>
    <t>Cloud infrastructure, deployment, and system monitoring</t>
  </si>
  <si>
    <t>Hourly Rate</t>
  </si>
  <si>
    <t>Total Cost</t>
  </si>
  <si>
    <t>Item</t>
  </si>
  <si>
    <t>Category</t>
  </si>
  <si>
    <t>Quantity/Duration</t>
  </si>
  <si>
    <t>Unit Cost</t>
  </si>
  <si>
    <t>Total</t>
  </si>
  <si>
    <t>Employee Labor</t>
  </si>
  <si>
    <t>Cloud Hosting</t>
  </si>
  <si>
    <t>Software Licenses</t>
  </si>
  <si>
    <t>Maps/API Services</t>
  </si>
  <si>
    <t>Testing Tools</t>
  </si>
  <si>
    <t>Labor</t>
  </si>
  <si>
    <t>Infrastructure</t>
  </si>
  <si>
    <t>Tools</t>
  </si>
  <si>
    <t>Third-party APIs</t>
  </si>
  <si>
    <t>1,484 hours</t>
  </si>
  <si>
    <t>Varies</t>
  </si>
  <si>
    <t>4 months</t>
  </si>
  <si>
    <t>One-time</t>
  </si>
  <si>
    <t>$100/month</t>
  </si>
  <si>
    <t>$150/month</t>
  </si>
  <si>
    <t>Subtotal</t>
  </si>
  <si>
    <t>contingency reserve</t>
  </si>
  <si>
    <t>reserve</t>
  </si>
  <si>
    <t>10% of subtotal</t>
  </si>
  <si>
    <t>Total Project Budget</t>
  </si>
  <si>
    <t>Cost Estimate</t>
  </si>
  <si>
    <t>Monthly Budget Cashflow</t>
  </si>
  <si>
    <t>Month</t>
  </si>
  <si>
    <t>Other Expenses</t>
  </si>
  <si>
    <t>Contingency</t>
  </si>
  <si>
    <t>September</t>
  </si>
  <si>
    <t>October</t>
  </si>
  <si>
    <t>November</t>
  </si>
  <si>
    <t>December</t>
  </si>
  <si>
    <t>Task/Deliverable</t>
  </si>
  <si>
    <t>Requirements gathering</t>
  </si>
  <si>
    <t>UI/UX Design</t>
  </si>
  <si>
    <t>System Architecture &amp; Database</t>
  </si>
  <si>
    <t>Frontend Development</t>
  </si>
  <si>
    <t>Backend Development</t>
  </si>
  <si>
    <t>Parking  Availability and Reporting</t>
  </si>
  <si>
    <t>Reservations &amp; Payments</t>
  </si>
  <si>
    <t>Testing &amp; QA</t>
  </si>
  <si>
    <t>Deployment</t>
  </si>
  <si>
    <t>Documentation</t>
  </si>
  <si>
    <t>Final Presentation &amp; Closure</t>
  </si>
  <si>
    <t>A/R</t>
  </si>
  <si>
    <t>C</t>
  </si>
  <si>
    <t>I</t>
  </si>
  <si>
    <t>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</si>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</sst>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_);[Red]\(&quot;$&quot;#,##0.0\)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6" fontId="0" fillId="0" borderId="0" xfId="0" applyNumberFormat="1"/>
    <xf numFmtId="0" fontId="1" fillId="0" borderId="0" xfId="0" applyFont="1"/>
    <xf numFmtId="164" fontId="0" fillId="0" borderId="0" xfId="0" applyNumberFormat="1"/>
    <xf numFmtId="6" fontId="1" fillId="0" borderId="0" xfId="0" applyNumberFormat="1" applyFont="1"/>
    <xf numFmtId="0" fontId="0" fillId="2" borderId="0" xfId="0" applyFill="1"/>
    <xf numFmtId="0" fontId="1" fillId="2" borderId="0" xfId="0" applyFont="1" applyFill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26670</xdr:rowOff>
    </xdr:from>
    <xdr:to>
      <xdr:col>3</xdr:col>
      <xdr:colOff>640080</xdr:colOff>
      <xdr:row>14</xdr:row>
      <xdr:rowOff>26670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0B4754-AFB4-E18C-DAF5-6DF4456B155A}"/>
            </a:ext>
          </a:extLst>
        </xdr:cNvPr>
        <xdr:cNvSpPr txBox="1"/>
      </xdr:nvSpPr>
      <xdr:spPr>
        <a:xfrm>
          <a:off x="38100" y="1672590"/>
          <a:ext cx="341376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Assuming: 14 weeks * a 40 hr week = 560 full time hours.</a:t>
          </a:r>
        </a:p>
        <a:p>
          <a:r>
            <a:rPr lang="en-US" sz="1100"/>
            <a:t>560 hrs * FTE - Estimated Hours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C878-180E-4AB6-903D-5EF51ECA32FA}">
  <dimension ref="A1:F7"/>
  <sheetViews>
    <sheetView workbookViewId="0">
      <selection sqref="A1:D7"/>
    </sheetView>
  </sheetViews>
  <sheetFormatPr defaultRowHeight="14.4" x14ac:dyDescent="0.3"/>
  <cols>
    <col min="1" max="1" width="16.77734375" bestFit="1" customWidth="1"/>
    <col min="2" max="2" width="15.33203125" bestFit="1" customWidth="1"/>
    <col min="4" max="4" width="14.33203125" bestFit="1" customWidth="1"/>
    <col min="5" max="5" width="11.21875" bestFit="1" customWidth="1"/>
    <col min="6" max="6" width="5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</row>
    <row r="2" spans="1:6" x14ac:dyDescent="0.3">
      <c r="A2" t="s">
        <v>5</v>
      </c>
      <c r="B2" t="s">
        <v>11</v>
      </c>
      <c r="C2" s="1">
        <v>0.25</v>
      </c>
      <c r="D2">
        <v>140</v>
      </c>
      <c r="E2" t="s">
        <v>18</v>
      </c>
      <c r="F2" t="s">
        <v>20</v>
      </c>
    </row>
    <row r="3" spans="1:6" x14ac:dyDescent="0.3">
      <c r="A3" t="s">
        <v>6</v>
      </c>
      <c r="B3" t="s">
        <v>12</v>
      </c>
      <c r="C3" s="1">
        <v>0.75</v>
      </c>
      <c r="D3">
        <v>420</v>
      </c>
      <c r="E3" t="s">
        <v>18</v>
      </c>
      <c r="F3" t="s">
        <v>21</v>
      </c>
    </row>
    <row r="4" spans="1:6" x14ac:dyDescent="0.3">
      <c r="A4" t="s">
        <v>7</v>
      </c>
      <c r="B4" t="s">
        <v>13</v>
      </c>
      <c r="C4" s="1">
        <v>0.75</v>
      </c>
      <c r="D4">
        <v>420</v>
      </c>
      <c r="E4" t="s">
        <v>19</v>
      </c>
      <c r="F4" t="s">
        <v>22</v>
      </c>
    </row>
    <row r="5" spans="1:6" x14ac:dyDescent="0.3">
      <c r="A5" t="s">
        <v>8</v>
      </c>
      <c r="B5" t="s">
        <v>14</v>
      </c>
      <c r="C5" s="1">
        <v>0.3</v>
      </c>
      <c r="D5">
        <v>168</v>
      </c>
      <c r="E5" t="s">
        <v>18</v>
      </c>
      <c r="F5" t="s">
        <v>23</v>
      </c>
    </row>
    <row r="6" spans="1:6" x14ac:dyDescent="0.3">
      <c r="A6" t="s">
        <v>9</v>
      </c>
      <c r="B6" t="s">
        <v>15</v>
      </c>
      <c r="C6" s="1">
        <v>0.4</v>
      </c>
      <c r="D6">
        <v>224</v>
      </c>
      <c r="E6" t="s">
        <v>18</v>
      </c>
      <c r="F6" t="s">
        <v>24</v>
      </c>
    </row>
    <row r="7" spans="1:6" x14ac:dyDescent="0.3">
      <c r="A7" t="s">
        <v>10</v>
      </c>
      <c r="B7" t="s">
        <v>16</v>
      </c>
      <c r="C7" s="1">
        <v>0.2</v>
      </c>
      <c r="D7">
        <v>112</v>
      </c>
      <c r="E7" t="s">
        <v>18</v>
      </c>
      <c r="F7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FB64-6632-42B6-8EF8-3197E85FA2BC}">
  <dimension ref="A1:F21"/>
  <sheetViews>
    <sheetView workbookViewId="0">
      <selection activeCell="F9" sqref="F9"/>
    </sheetView>
  </sheetViews>
  <sheetFormatPr defaultRowHeight="14.4" x14ac:dyDescent="0.3"/>
  <cols>
    <col min="1" max="1" width="16.77734375" bestFit="1" customWidth="1"/>
    <col min="2" max="2" width="15.33203125" bestFit="1" customWidth="1"/>
    <col min="3" max="3" width="5.77734375" bestFit="1" customWidth="1"/>
    <col min="4" max="4" width="14.33203125" bestFit="1" customWidth="1"/>
    <col min="5" max="5" width="1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</row>
    <row r="2" spans="1:6" x14ac:dyDescent="0.3">
      <c r="A2" t="s">
        <v>5</v>
      </c>
      <c r="B2" t="s">
        <v>11</v>
      </c>
      <c r="C2" s="1">
        <v>0.25</v>
      </c>
      <c r="D2">
        <v>140</v>
      </c>
      <c r="E2" s="2">
        <v>45</v>
      </c>
      <c r="F2" s="2">
        <f>E2 * D2</f>
        <v>6300</v>
      </c>
    </row>
    <row r="3" spans="1:6" x14ac:dyDescent="0.3">
      <c r="A3" t="s">
        <v>6</v>
      </c>
      <c r="B3" t="s">
        <v>12</v>
      </c>
      <c r="C3" s="1">
        <v>0.75</v>
      </c>
      <c r="D3">
        <v>420</v>
      </c>
      <c r="E3" s="2">
        <v>40</v>
      </c>
      <c r="F3" s="2">
        <f t="shared" ref="F3:F7" si="0">E3 * D3</f>
        <v>16800</v>
      </c>
    </row>
    <row r="4" spans="1:6" x14ac:dyDescent="0.3">
      <c r="A4" t="s">
        <v>7</v>
      </c>
      <c r="B4" t="s">
        <v>13</v>
      </c>
      <c r="C4" s="1">
        <v>0.75</v>
      </c>
      <c r="D4">
        <v>420</v>
      </c>
      <c r="E4" s="2">
        <v>50</v>
      </c>
      <c r="F4" s="2">
        <f t="shared" si="0"/>
        <v>21000</v>
      </c>
    </row>
    <row r="5" spans="1:6" x14ac:dyDescent="0.3">
      <c r="A5" t="s">
        <v>8</v>
      </c>
      <c r="B5" t="s">
        <v>14</v>
      </c>
      <c r="C5" s="1">
        <v>0.3</v>
      </c>
      <c r="D5">
        <v>168</v>
      </c>
      <c r="E5" s="2">
        <v>35</v>
      </c>
      <c r="F5" s="2">
        <f t="shared" si="0"/>
        <v>5880</v>
      </c>
    </row>
    <row r="6" spans="1:6" x14ac:dyDescent="0.3">
      <c r="A6" t="s">
        <v>9</v>
      </c>
      <c r="B6" t="s">
        <v>15</v>
      </c>
      <c r="C6" s="1">
        <v>0.4</v>
      </c>
      <c r="D6">
        <v>224</v>
      </c>
      <c r="E6" s="2">
        <v>30</v>
      </c>
      <c r="F6" s="2">
        <f t="shared" si="0"/>
        <v>6720</v>
      </c>
    </row>
    <row r="7" spans="1:6" x14ac:dyDescent="0.3">
      <c r="A7" t="s">
        <v>10</v>
      </c>
      <c r="B7" t="s">
        <v>16</v>
      </c>
      <c r="C7" s="1">
        <v>0.2</v>
      </c>
      <c r="D7">
        <v>112</v>
      </c>
      <c r="E7" s="2">
        <v>45</v>
      </c>
      <c r="F7" s="2">
        <f t="shared" si="0"/>
        <v>5040</v>
      </c>
    </row>
    <row r="8" spans="1:6" x14ac:dyDescent="0.3">
      <c r="A8" t="s">
        <v>32</v>
      </c>
      <c r="D8">
        <f>SUM(D2:D7)</f>
        <v>1484</v>
      </c>
      <c r="F8" s="2">
        <f>SUM(F2:F7)</f>
        <v>61740</v>
      </c>
    </row>
    <row r="21" ht="10.199999999999999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0A7A-5F15-400E-87E3-2DF1C948975C}">
  <dimension ref="A1:E19"/>
  <sheetViews>
    <sheetView zoomScale="69" workbookViewId="0">
      <selection activeCell="C29" sqref="C29"/>
    </sheetView>
  </sheetViews>
  <sheetFormatPr defaultRowHeight="14.4" x14ac:dyDescent="0.3"/>
  <cols>
    <col min="1" max="1" width="17.21875" bestFit="1" customWidth="1"/>
    <col min="2" max="2" width="13.6640625" bestFit="1" customWidth="1"/>
    <col min="3" max="3" width="15.33203125" bestFit="1" customWidth="1"/>
    <col min="4" max="4" width="10.77734375" bestFit="1" customWidth="1"/>
  </cols>
  <sheetData>
    <row r="1" spans="1:5" x14ac:dyDescent="0.3">
      <c r="A1" s="7" t="s">
        <v>53</v>
      </c>
      <c r="B1" s="6"/>
      <c r="C1" s="6"/>
      <c r="D1" s="6"/>
      <c r="E1" s="6"/>
    </row>
    <row r="2" spans="1:5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</row>
    <row r="3" spans="1:5" x14ac:dyDescent="0.3">
      <c r="A3" t="s">
        <v>33</v>
      </c>
      <c r="B3" t="s">
        <v>38</v>
      </c>
      <c r="C3" s="2" t="s">
        <v>42</v>
      </c>
      <c r="D3" t="s">
        <v>43</v>
      </c>
      <c r="E3" s="2">
        <v>61740</v>
      </c>
    </row>
    <row r="4" spans="1:5" x14ac:dyDescent="0.3">
      <c r="A4" t="s">
        <v>34</v>
      </c>
      <c r="B4" t="s">
        <v>39</v>
      </c>
      <c r="C4" t="s">
        <v>44</v>
      </c>
      <c r="D4" t="s">
        <v>47</v>
      </c>
      <c r="E4" s="2">
        <v>600</v>
      </c>
    </row>
    <row r="5" spans="1:5" x14ac:dyDescent="0.3">
      <c r="A5" t="s">
        <v>35</v>
      </c>
      <c r="B5" t="s">
        <v>40</v>
      </c>
      <c r="C5" t="s">
        <v>45</v>
      </c>
      <c r="D5" s="2">
        <v>300</v>
      </c>
      <c r="E5" s="2">
        <f>D5</f>
        <v>300</v>
      </c>
    </row>
    <row r="6" spans="1:5" x14ac:dyDescent="0.3">
      <c r="A6" t="s">
        <v>36</v>
      </c>
      <c r="B6" t="s">
        <v>41</v>
      </c>
      <c r="C6" t="s">
        <v>44</v>
      </c>
      <c r="D6" t="s">
        <v>46</v>
      </c>
      <c r="E6" s="2">
        <v>400</v>
      </c>
    </row>
    <row r="7" spans="1:5" x14ac:dyDescent="0.3">
      <c r="A7" t="s">
        <v>37</v>
      </c>
      <c r="B7" t="s">
        <v>40</v>
      </c>
      <c r="C7" t="s">
        <v>45</v>
      </c>
      <c r="D7" s="2">
        <v>200</v>
      </c>
      <c r="E7" s="2">
        <f>D7</f>
        <v>200</v>
      </c>
    </row>
    <row r="8" spans="1:5" x14ac:dyDescent="0.3">
      <c r="A8" s="3" t="s">
        <v>48</v>
      </c>
      <c r="E8" s="5">
        <f>SUM(E3:E7)</f>
        <v>63240</v>
      </c>
    </row>
    <row r="9" spans="1:5" x14ac:dyDescent="0.3">
      <c r="A9" t="s">
        <v>49</v>
      </c>
      <c r="B9" t="s">
        <v>50</v>
      </c>
      <c r="C9" t="s">
        <v>51</v>
      </c>
      <c r="E9" s="4">
        <f>E8*0.1</f>
        <v>6324</v>
      </c>
    </row>
    <row r="10" spans="1:5" x14ac:dyDescent="0.3">
      <c r="A10" s="3" t="s">
        <v>52</v>
      </c>
      <c r="E10" s="5">
        <f>SUM(E8:E9)</f>
        <v>69564</v>
      </c>
    </row>
    <row r="13" spans="1:5" x14ac:dyDescent="0.3">
      <c r="A13" s="7" t="s">
        <v>54</v>
      </c>
      <c r="B13" s="6"/>
      <c r="C13" s="6"/>
      <c r="D13" s="6"/>
      <c r="E13" s="6"/>
    </row>
    <row r="14" spans="1:5" x14ac:dyDescent="0.3">
      <c r="A14" t="s">
        <v>55</v>
      </c>
      <c r="B14" t="s">
        <v>38</v>
      </c>
      <c r="C14" t="s">
        <v>56</v>
      </c>
      <c r="D14" t="s">
        <v>57</v>
      </c>
      <c r="E14" t="s">
        <v>32</v>
      </c>
    </row>
    <row r="15" spans="1:5" x14ac:dyDescent="0.3">
      <c r="A15" t="s">
        <v>58</v>
      </c>
      <c r="B15" s="8">
        <v>12000</v>
      </c>
      <c r="C15" s="8">
        <v>450</v>
      </c>
      <c r="D15" s="8">
        <v>1245</v>
      </c>
      <c r="E15" s="8">
        <f>SUM(B15:D15)</f>
        <v>13695</v>
      </c>
    </row>
    <row r="16" spans="1:5" x14ac:dyDescent="0.3">
      <c r="A16" t="s">
        <v>59</v>
      </c>
      <c r="B16" s="8">
        <v>20000</v>
      </c>
      <c r="C16" s="8">
        <v>350</v>
      </c>
      <c r="D16" s="8">
        <v>2035</v>
      </c>
      <c r="E16" s="8">
        <f t="shared" ref="E16:E18" si="0">SUM(B16:D16)</f>
        <v>22385</v>
      </c>
    </row>
    <row r="17" spans="1:5" x14ac:dyDescent="0.3">
      <c r="A17" t="s">
        <v>60</v>
      </c>
      <c r="B17" s="8">
        <v>21000</v>
      </c>
      <c r="C17" s="8">
        <v>350</v>
      </c>
      <c r="D17" s="8">
        <v>2135</v>
      </c>
      <c r="E17" s="8">
        <f t="shared" si="0"/>
        <v>23485</v>
      </c>
    </row>
    <row r="18" spans="1:5" x14ac:dyDescent="0.3">
      <c r="A18" t="s">
        <v>61</v>
      </c>
      <c r="B18" s="8">
        <v>8740</v>
      </c>
      <c r="C18" s="8">
        <v>350</v>
      </c>
      <c r="D18" s="8">
        <v>909</v>
      </c>
      <c r="E18" s="8">
        <f t="shared" si="0"/>
        <v>9999</v>
      </c>
    </row>
    <row r="19" spans="1:5" x14ac:dyDescent="0.3">
      <c r="A19" s="3" t="s">
        <v>32</v>
      </c>
      <c r="B19" s="9">
        <f>SUM(B15:B18)</f>
        <v>61740</v>
      </c>
      <c r="C19" s="9">
        <f>SUM(C15:C18)</f>
        <v>1500</v>
      </c>
      <c r="D19" s="9">
        <f>SUM(D15:D18)</f>
        <v>6324</v>
      </c>
      <c r="E19" s="9">
        <f>SUM(E15:E18)</f>
        <v>69564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5E63-0378-4E9F-89F6-57ED8C47B03D}">
  <dimension ref="A1:G12"/>
  <sheetViews>
    <sheetView tabSelected="1" workbookViewId="0">
      <selection activeCell="G13" sqref="G13"/>
    </sheetView>
  </sheetViews>
  <sheetFormatPr defaultRowHeight="14.4" x14ac:dyDescent="0.3"/>
  <cols>
    <col min="1" max="1" width="27.88671875" bestFit="1" customWidth="1"/>
    <col min="2" max="2" width="14.21875" bestFit="1" customWidth="1"/>
    <col min="3" max="3" width="16.77734375" bestFit="1" customWidth="1"/>
    <col min="4" max="4" width="16.5546875" bestFit="1" customWidth="1"/>
    <col min="5" max="5" width="13.109375" bestFit="1" customWidth="1"/>
    <col min="7" max="7" width="14.6640625" bestFit="1" customWidth="1"/>
  </cols>
  <sheetData>
    <row r="1" spans="1:7" x14ac:dyDescent="0.3">
      <c r="A1" t="s">
        <v>62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63</v>
      </c>
      <c r="B2" t="s">
        <v>74</v>
      </c>
      <c r="C2" t="s">
        <v>75</v>
      </c>
      <c r="D2" t="s">
        <v>75</v>
      </c>
      <c r="E2" t="s">
        <v>75</v>
      </c>
      <c r="F2" t="s">
        <v>75</v>
      </c>
      <c r="G2" t="s">
        <v>76</v>
      </c>
    </row>
    <row r="3" spans="1:7" x14ac:dyDescent="0.3">
      <c r="A3" t="s">
        <v>64</v>
      </c>
      <c r="B3" t="s">
        <v>75</v>
      </c>
      <c r="C3" t="s">
        <v>75</v>
      </c>
      <c r="D3" t="s">
        <v>76</v>
      </c>
      <c r="E3" t="s">
        <v>74</v>
      </c>
      <c r="F3" t="s">
        <v>75</v>
      </c>
      <c r="G3" t="s">
        <v>76</v>
      </c>
    </row>
    <row r="4" spans="1:7" x14ac:dyDescent="0.3">
      <c r="A4" t="s">
        <v>65</v>
      </c>
      <c r="B4" t="s">
        <v>76</v>
      </c>
      <c r="C4" t="s">
        <v>75</v>
      </c>
      <c r="D4" t="s">
        <v>74</v>
      </c>
      <c r="E4" t="s">
        <v>76</v>
      </c>
      <c r="F4" t="s">
        <v>75</v>
      </c>
      <c r="G4" t="s">
        <v>75</v>
      </c>
    </row>
    <row r="5" spans="1:7" x14ac:dyDescent="0.3">
      <c r="A5" t="s">
        <v>66</v>
      </c>
      <c r="B5" t="s">
        <v>76</v>
      </c>
      <c r="C5" t="s">
        <v>74</v>
      </c>
      <c r="D5" t="s">
        <v>75</v>
      </c>
      <c r="E5" t="s">
        <v>75</v>
      </c>
      <c r="F5" t="s">
        <v>75</v>
      </c>
      <c r="G5" t="s">
        <v>76</v>
      </c>
    </row>
    <row r="6" spans="1:7" x14ac:dyDescent="0.3">
      <c r="A6" t="s">
        <v>67</v>
      </c>
      <c r="B6" t="s">
        <v>76</v>
      </c>
      <c r="C6" t="s">
        <v>75</v>
      </c>
      <c r="D6" t="s">
        <v>74</v>
      </c>
      <c r="E6" t="s">
        <v>76</v>
      </c>
      <c r="F6" t="s">
        <v>75</v>
      </c>
      <c r="G6" t="s">
        <v>75</v>
      </c>
    </row>
    <row r="7" spans="1:7" x14ac:dyDescent="0.3">
      <c r="A7" t="s">
        <v>68</v>
      </c>
      <c r="B7" t="s">
        <v>76</v>
      </c>
      <c r="C7" t="s">
        <v>77</v>
      </c>
      <c r="D7" t="s">
        <v>74</v>
      </c>
      <c r="E7" t="s">
        <v>75</v>
      </c>
      <c r="F7" t="s">
        <v>75</v>
      </c>
      <c r="G7" t="s">
        <v>76</v>
      </c>
    </row>
    <row r="8" spans="1:7" x14ac:dyDescent="0.3">
      <c r="A8" t="s">
        <v>69</v>
      </c>
      <c r="B8" t="s">
        <v>76</v>
      </c>
      <c r="C8" t="s">
        <v>77</v>
      </c>
      <c r="D8" t="s">
        <v>74</v>
      </c>
      <c r="E8" t="s">
        <v>75</v>
      </c>
      <c r="F8" t="s">
        <v>75</v>
      </c>
      <c r="G8" t="s">
        <v>76</v>
      </c>
    </row>
    <row r="9" spans="1:7" x14ac:dyDescent="0.3">
      <c r="A9" t="s">
        <v>70</v>
      </c>
      <c r="B9" t="s">
        <v>76</v>
      </c>
      <c r="C9" t="s">
        <v>75</v>
      </c>
      <c r="D9" t="s">
        <v>75</v>
      </c>
      <c r="E9" t="s">
        <v>76</v>
      </c>
      <c r="F9" t="s">
        <v>74</v>
      </c>
      <c r="G9" t="s">
        <v>75</v>
      </c>
    </row>
    <row r="10" spans="1:7" x14ac:dyDescent="0.3">
      <c r="A10" t="s">
        <v>71</v>
      </c>
      <c r="B10" t="s">
        <v>76</v>
      </c>
      <c r="C10" t="s">
        <v>75</v>
      </c>
      <c r="D10" t="s">
        <v>75</v>
      </c>
      <c r="E10" t="s">
        <v>76</v>
      </c>
      <c r="F10" t="s">
        <v>75</v>
      </c>
      <c r="G10" t="s">
        <v>78</v>
      </c>
    </row>
    <row r="11" spans="1:7" x14ac:dyDescent="0.3">
      <c r="A11" t="s">
        <v>72</v>
      </c>
      <c r="B11" t="s">
        <v>74</v>
      </c>
      <c r="C11" t="s">
        <v>75</v>
      </c>
      <c r="D11" t="s">
        <v>75</v>
      </c>
      <c r="E11" t="s">
        <v>75</v>
      </c>
      <c r="F11" t="s">
        <v>75</v>
      </c>
      <c r="G11" t="s">
        <v>76</v>
      </c>
    </row>
    <row r="12" spans="1:7" x14ac:dyDescent="0.3">
      <c r="A12" t="s">
        <v>73</v>
      </c>
      <c r="B12" t="s">
        <v>74</v>
      </c>
      <c r="C12" t="s">
        <v>76</v>
      </c>
      <c r="D12" t="s">
        <v>76</v>
      </c>
      <c r="E12" t="s">
        <v>76</v>
      </c>
      <c r="F12" t="s">
        <v>75</v>
      </c>
      <c r="G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Roles &amp; Resources</vt:lpstr>
      <vt:lpstr>Resource Plan</vt:lpstr>
      <vt:lpstr>Cost Plan</vt:lpstr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Grimaldo, Bella N</dc:creator>
  <cp:lastModifiedBy>Grimaldo, Bella N</cp:lastModifiedBy>
  <dcterms:created xsi:type="dcterms:W3CDTF">2026-10-16T01:01:16Z</dcterms:created>
  <dcterms:modified xsi:type="dcterms:W3CDTF">2026-10-16T01:57:36Z</dcterms:modified>
</cp:coreProperties>
</file>